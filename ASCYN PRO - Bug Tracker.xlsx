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ritical Bugs" sheetId="2" state="visible" r:id="rId2"/>
    <sheet name="High Priority Bugs" sheetId="3" state="visible" r:id="rId3"/>
    <sheet name="Medium Priority Bugs" sheetId="4" state="visible" r:id="rId4"/>
    <sheet name="Low Priority Bugs" sheetId="5" state="visible" r:id="rId5"/>
  </sheets>
  <definedNames>
    <definedName name="_xlnm._FilterDatabase" localSheetId="1" hidden="1">'Critical Bugs'!$A$1:$R$106</definedName>
    <definedName name="_xlnm._FilterDatabase" localSheetId="2" hidden="1">'High Priority Bugs'!$A$1:$R$106</definedName>
    <definedName name="_xlnm._FilterDatabase" localSheetId="3" hidden="1">'Medium Priority Bugs'!$A$1:$R$106</definedName>
    <definedName name="_xlnm._FilterDatabase" localSheetId="4" hidden="1">'Low Priority Bugs'!$A$1:$R$106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2937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EE2E2"/>
          <bgColor rgb="00FEE2E2"/>
        </patternFill>
      </fill>
    </dxf>
    <dxf>
      <fill>
        <patternFill patternType="solid">
          <fgColor rgb="00FFEDD5"/>
          <bgColor rgb="00FFEDD5"/>
        </patternFill>
      </fill>
    </dxf>
    <dxf>
      <fill>
        <patternFill patternType="solid">
          <fgColor rgb="00FEF9C3"/>
          <bgColor rgb="00FEF9C3"/>
        </patternFill>
      </fill>
    </dxf>
    <dxf>
      <fill>
        <patternFill patternType="solid">
          <fgColor rgb="00D1FAE5"/>
          <bgColor rgb="00D1FA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2" customWidth="1" min="4" max="4"/>
    <col width="15" customWidth="1" min="5" max="5"/>
    <col width="18" customWidth="1" min="7" max="7"/>
    <col width="15" customWidth="1" min="8" max="8"/>
  </cols>
  <sheetData>
    <row r="1" ht="30" customHeight="1">
      <c r="A1" s="1" t="inlineStr">
        <is>
          <t>ASCYN PRO - Bug Tracker Dashboard</t>
        </is>
      </c>
    </row>
    <row r="3">
      <c r="A3" s="2" t="inlineStr">
        <is>
          <t>Metric</t>
        </is>
      </c>
      <c r="B3" s="2" t="inlineStr">
        <is>
          <t>Value</t>
        </is>
      </c>
      <c r="C3" s="3" t="n"/>
      <c r="D3" s="2" t="inlineStr">
        <is>
          <t>Bugs by User Type</t>
        </is>
      </c>
      <c r="E3" s="2" t="inlineStr">
        <is>
          <t>Count</t>
        </is>
      </c>
      <c r="F3" s="3" t="n"/>
      <c r="G3" s="2" t="inlineStr">
        <is>
          <t>Bugs by Status</t>
        </is>
      </c>
      <c r="H3" s="2" t="inlineStr">
        <is>
          <t>Count</t>
        </is>
      </c>
    </row>
    <row r="4">
      <c r="A4" s="4" t="inlineStr">
        <is>
          <t>Total Bugs</t>
        </is>
      </c>
      <c r="B4" s="3">
        <f>SUM(COUNTA('Critical Bugs'!A2:A1000),COUNTA('High Priority Bugs'!A2:A1000),COUNTA('Medium Priority Bugs'!A2:A1000),COUNTA('Low Priority Bugs'!A2:A1000))</f>
        <v/>
      </c>
      <c r="C4" s="3" t="n"/>
      <c r="D4" s="3" t="inlineStr">
        <is>
          <t>Student</t>
        </is>
      </c>
      <c r="E4" s="3">
        <f>COUNTIF('Critical Bugs'!D:D,"Student")+COUNTIF('High Priority Bugs'!D:D,"Student")+COUNTIF('Medium Priority Bugs'!D:D,"Student")+COUNTIF('Low Priority Bugs'!D:D,"Student")</f>
        <v/>
      </c>
      <c r="F4" s="3" t="n"/>
      <c r="G4" s="3" t="inlineStr">
        <is>
          <t>Open</t>
        </is>
      </c>
      <c r="H4" s="3">
        <f>COUNTIF('Critical Bugs'!L:L,"Open")+COUNTIF('High Priority Bugs'!L:L,"Open")+COUNTIF('Medium Priority Bugs'!L:L,"Open")+COUNTIF('Low Priority Bugs'!L:L,"Open")</f>
        <v/>
      </c>
    </row>
    <row r="5">
      <c r="A5" s="4" t="inlineStr">
        <is>
          <t>Open Bugs</t>
        </is>
      </c>
      <c r="B5" s="3">
        <f>COUNTIF('Critical Bugs'!L:L,"Open")+COUNTIF('High Priority Bugs'!L:L,"Open")+COUNTIF('Medium Priority Bugs'!L:L,"Open")+COUNTIF('Low Priority Bugs'!L:L,"Open")</f>
        <v/>
      </c>
      <c r="C5" s="3" t="n"/>
      <c r="D5" s="3" t="inlineStr">
        <is>
          <t>Instructor</t>
        </is>
      </c>
      <c r="E5" s="3">
        <f>COUNTIF('Critical Bugs'!D:D,"Instructor")+COUNTIF('High Priority Bugs'!D:D,"Instructor")+COUNTIF('Medium Priority Bugs'!D:D,"Instructor")+COUNTIF('Low Priority Bugs'!D:D,"Instructor")</f>
        <v/>
      </c>
      <c r="F5" s="3" t="n"/>
      <c r="G5" s="3" t="inlineStr">
        <is>
          <t>Investigating</t>
        </is>
      </c>
      <c r="H5" s="3">
        <f>COUNTIF('Critical Bugs'!L:L,"Investigating")+COUNTIF('High Priority Bugs'!L:L,"Investigating")+COUNTIF('Medium Priority Bugs'!L:L,"Investigating")+COUNTIF('Low Priority Bugs'!L:L,"Investigating")</f>
        <v/>
      </c>
    </row>
    <row r="6">
      <c r="A6" s="4" t="inlineStr">
        <is>
          <t>Closed Bugs</t>
        </is>
      </c>
      <c r="B6" s="3">
        <f>COUNTIF('Critical Bugs'!L:L,"Closed")+COUNTIF('High Priority Bugs'!L:L,"Closed")+COUNTIF('Medium Priority Bugs'!L:L,"Closed")+COUNTIF('Low Priority Bugs'!L:L,"Closed")</f>
        <v/>
      </c>
      <c r="C6" s="3" t="n"/>
      <c r="D6" s="3" t="inlineStr">
        <is>
          <t>School Owner</t>
        </is>
      </c>
      <c r="E6" s="3">
        <f>COUNTIF('Critical Bugs'!D:D,"School Owner")+COUNTIF('High Priority Bugs'!D:D,"School Owner")+COUNTIF('Medium Priority Bugs'!D:D,"School Owner")+COUNTIF('Low Priority Bugs'!D:D,"School Owner")</f>
        <v/>
      </c>
      <c r="F6" s="3" t="n"/>
      <c r="G6" s="3" t="inlineStr">
        <is>
          <t>In Progress</t>
        </is>
      </c>
      <c r="H6" s="3">
        <f>COUNTIF('Critical Bugs'!L:L,"In Progress")+COUNTIF('High Priority Bugs'!L:L,"In Progress")+COUNTIF('Medium Priority Bugs'!L:L,"In Progress")+COUNTIF('Low Priority Bugs'!L:L,"In Progress")</f>
        <v/>
      </c>
    </row>
    <row r="7">
      <c r="A7" s="4" t="inlineStr">
        <is>
          <t>Critical Bugs</t>
        </is>
      </c>
      <c r="B7" s="3">
        <f>COUNTA('Critical Bugs'!A2:A1000)</f>
        <v/>
      </c>
      <c r="C7" s="3" t="n"/>
      <c r="D7" s="3" t="inlineStr">
        <is>
          <t>Administrator</t>
        </is>
      </c>
      <c r="E7" s="3">
        <f>COUNTIF('Critical Bugs'!D:D,"Administrator")+COUNTIF('High Priority Bugs'!D:D,"Administrator")+COUNTIF('Medium Priority Bugs'!D:D,"Administrator")+COUNTIF('Low Priority Bugs'!D:D,"Administrator")</f>
        <v/>
      </c>
      <c r="F7" s="3" t="n"/>
      <c r="G7" s="3" t="inlineStr">
        <is>
          <t>Testing</t>
        </is>
      </c>
      <c r="H7" s="3">
        <f>COUNTIF('Critical Bugs'!L:L,"Testing")+COUNTIF('High Priority Bugs'!L:L,"Testing")+COUNTIF('Medium Priority Bugs'!L:L,"Testing")+COUNTIF('Low Priority Bugs'!L:L,"Testing")</f>
        <v/>
      </c>
    </row>
    <row r="8">
      <c r="A8" s="4" t="inlineStr">
        <is>
          <t>High Priority Bugs</t>
        </is>
      </c>
      <c r="B8" s="3">
        <f>COUNTA('High Priority Bugs'!A2:A1000)</f>
        <v/>
      </c>
      <c r="C8" s="3" t="n"/>
      <c r="D8" s="3" t="inlineStr">
        <is>
          <t>Tester</t>
        </is>
      </c>
      <c r="E8" s="3">
        <f>COUNTIF('Critical Bugs'!D:D,"Tester")+COUNTIF('High Priority Bugs'!D:D,"Tester")+COUNTIF('Medium Priority Bugs'!D:D,"Tester")+COUNTIF('Low Priority Bugs'!D:D,"Tester")</f>
        <v/>
      </c>
      <c r="F8" s="3" t="n"/>
      <c r="G8" s="3" t="inlineStr">
        <is>
          <t>Resolved</t>
        </is>
      </c>
      <c r="H8" s="3">
        <f>COUNTIF('Critical Bugs'!L:L,"Resolved")+COUNTIF('High Priority Bugs'!L:L,"Resolved")+COUNTIF('Medium Priority Bugs'!L:L,"Resolved")+COUNTIF('Low Priority Bugs'!L:L,"Resolved")</f>
        <v/>
      </c>
    </row>
    <row r="9">
      <c r="A9" s="4" t="inlineStr">
        <is>
          <t>Resolution Rate</t>
        </is>
      </c>
      <c r="B9" s="5">
        <f>IF(B2=0,0,B5/B2)</f>
        <v/>
      </c>
      <c r="C9" s="3" t="n"/>
      <c r="D9" s="3" t="n"/>
      <c r="E9" s="3" t="n"/>
      <c r="F9" s="3" t="n"/>
      <c r="G9" s="3" t="inlineStr">
        <is>
          <t>Closed</t>
        </is>
      </c>
      <c r="H9" s="3">
        <f>COUNTIF('Critical Bugs'!L:L,"Closed")+COUNTIF('High Priority Bugs'!L:L,"Closed")+COUNTIF('Medium Priority Bugs'!L:L,"Closed")+COUNTIF('Low Priority Bugs'!L:L,"Closed")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5" customWidth="1" min="4" max="4"/>
    <col width="24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13" customWidth="1" min="11" max="11"/>
    <col width="18" customWidth="1" min="12" max="12"/>
    <col width="13" customWidth="1" min="13" max="13"/>
    <col width="15" customWidth="1" min="14" max="14"/>
    <col width="12" customWidth="1" min="15" max="15"/>
    <col width="16" customWidth="1" min="16" max="16"/>
    <col width="44" customWidth="1" min="17" max="17"/>
    <col width="36" customWidth="1" min="18" max="18"/>
  </cols>
  <sheetData>
    <row r="1" ht="35" customHeight="1">
      <c r="A1" s="6" t="inlineStr">
        <is>
          <t>Bug ID</t>
        </is>
      </c>
      <c r="B1" s="6" t="inlineStr">
        <is>
          <t>Date Reported</t>
        </is>
      </c>
      <c r="C1" s="6" t="inlineStr">
        <is>
          <t>Reported By</t>
        </is>
      </c>
      <c r="D1" s="6" t="inlineStr">
        <is>
          <t>User Type</t>
        </is>
      </c>
      <c r="E1" s="6" t="inlineStr">
        <is>
          <t>Page / Screen</t>
        </is>
      </c>
      <c r="F1" s="6" t="inlineStr">
        <is>
          <t>Feature</t>
        </is>
      </c>
      <c r="G1" s="6" t="inlineStr">
        <is>
          <t>Description</t>
        </is>
      </c>
      <c r="H1" s="6" t="inlineStr">
        <is>
          <t>Steps to Reproduce</t>
        </is>
      </c>
      <c r="I1" s="6" t="inlineStr">
        <is>
          <t>Expected Result</t>
        </is>
      </c>
      <c r="J1" s="6" t="inlineStr">
        <is>
          <t>Actual Result</t>
        </is>
      </c>
      <c r="K1" s="6" t="inlineStr">
        <is>
          <t>Priority</t>
        </is>
      </c>
      <c r="L1" s="6" t="inlineStr">
        <is>
          <t>Status</t>
        </is>
      </c>
      <c r="M1" s="6" t="inlineStr">
        <is>
          <t>Assigned To</t>
        </is>
      </c>
      <c r="N1" s="6" t="inlineStr">
        <is>
          <t>Date Assigned</t>
        </is>
      </c>
      <c r="O1" s="6" t="inlineStr">
        <is>
          <t>Date Fixed</t>
        </is>
      </c>
      <c r="P1" s="6" t="inlineStr">
        <is>
          <t>Fixed (Yes/No)</t>
        </is>
      </c>
      <c r="Q1" s="6" t="inlineStr">
        <is>
          <t>Verified (Yes/No)</t>
        </is>
      </c>
      <c r="R1" s="6" t="inlineStr">
        <is>
          <t>Notes</t>
        </is>
      </c>
    </row>
    <row r="2">
      <c r="A2" s="7" t="inlineStr">
        <is>
          <t>BUG-001</t>
        </is>
      </c>
      <c r="B2" s="7" t="inlineStr">
        <is>
          <t>2026-06-20</t>
        </is>
      </c>
      <c r="C2" s="7" t="inlineStr">
        <is>
          <t>Sarah J.</t>
        </is>
      </c>
      <c r="D2" s="7" t="inlineStr">
        <is>
          <t>Student</t>
        </is>
      </c>
      <c r="E2" s="7" t="inlineStr">
        <is>
          <t>/dashboard/assessments</t>
        </is>
      </c>
      <c r="F2" s="7" t="inlineStr">
        <is>
          <t>Assessment Submission</t>
        </is>
      </c>
      <c r="G2" s="7" t="inlineStr">
        <is>
          <t>Assessment form crashes when submitting a practical evaluation with rubric scores.</t>
        </is>
      </c>
      <c r="H2" s="7" t="inlineStr">
        <is>
          <t>1. Open practical assessment. 2. Fill rubric. 3. Click Submit.</t>
        </is>
      </c>
      <c r="I2" s="7" t="inlineStr">
        <is>
          <t>Assessment submits successfully and saves scores.</t>
        </is>
      </c>
      <c r="J2" s="7" t="inlineStr">
        <is>
          <t>Page becomes unresponsive and console shows TypeError.</t>
        </is>
      </c>
      <c r="K2" s="7" t="inlineStr">
        <is>
          <t>Critical</t>
        </is>
      </c>
      <c r="L2" s="7" t="inlineStr">
        <is>
          <t>Open</t>
        </is>
      </c>
      <c r="M2" s="7" t="inlineStr">
        <is>
          <t>OpenClaw</t>
        </is>
      </c>
      <c r="N2" s="7" t="inlineStr"/>
      <c r="O2" s="7" t="inlineStr"/>
      <c r="P2" s="7" t="inlineStr">
        <is>
          <t>No</t>
        </is>
      </c>
      <c r="Q2" s="7" t="inlineStr">
        <is>
          <t>No</t>
        </is>
      </c>
      <c r="R2" s="7" t="inlineStr">
        <is>
          <t>Reproducible in Chrome and Safari.</t>
        </is>
      </c>
    </row>
    <row r="3">
      <c r="A3" s="8" t="inlineStr">
        <is>
          <t>BUG-002</t>
        </is>
      </c>
      <c r="B3" s="8" t="inlineStr">
        <is>
          <t>2026-06-21</t>
        </is>
      </c>
      <c r="C3" s="8" t="inlineStr">
        <is>
          <t>Mike T.</t>
        </is>
      </c>
      <c r="D3" s="8" t="inlineStr">
        <is>
          <t>Instructor</t>
        </is>
      </c>
      <c r="E3" s="8" t="inlineStr">
        <is>
          <t>/instructor/attendance</t>
        </is>
      </c>
      <c r="F3" s="8" t="inlineStr">
        <is>
          <t>Attendance Logging</t>
        </is>
      </c>
      <c r="G3" s="8" t="inlineStr">
        <is>
          <t>Clock-in button records attendance for the wrong date, causing inaccurate attendance reports.</t>
        </is>
      </c>
      <c r="H3" s="8" t="inlineStr">
        <is>
          <t>1. Log in as instructor. 2. Click Clock In after midnight. 3. Review attendance log.</t>
        </is>
      </c>
      <c r="I3" s="8" t="inlineStr">
        <is>
          <t>Attendance records current session under correct date.</t>
        </is>
      </c>
      <c r="J3" s="8" t="inlineStr">
        <is>
          <t>Session is logged under previous date.</t>
        </is>
      </c>
      <c r="K3" s="8" t="inlineStr">
        <is>
          <t>Critical</t>
        </is>
      </c>
      <c r="L3" s="8" t="inlineStr">
        <is>
          <t>Investigating</t>
        </is>
      </c>
      <c r="M3" s="8" t="inlineStr">
        <is>
          <t>Gabriel</t>
        </is>
      </c>
      <c r="N3" s="8" t="inlineStr">
        <is>
          <t>2026-06-21</t>
        </is>
      </c>
      <c r="O3" s="8" t="inlineStr"/>
      <c r="P3" s="8" t="inlineStr">
        <is>
          <t>No</t>
        </is>
      </c>
      <c r="Q3" s="8" t="inlineStr">
        <is>
          <t>No</t>
        </is>
      </c>
      <c r="R3" s="8" t="inlineStr">
        <is>
          <t>Timezone handling suspected.</t>
        </is>
      </c>
    </row>
    <row r="4">
      <c r="A4" s="7" t="inlineStr">
        <is>
          <t>BUG-003</t>
        </is>
      </c>
      <c r="B4" s="7" t="inlineStr">
        <is>
          <t>2026-06-22</t>
        </is>
      </c>
      <c r="C4" s="7" t="inlineStr">
        <is>
          <t>Admin User</t>
        </is>
      </c>
      <c r="D4" s="7" t="inlineStr">
        <is>
          <t>/admin/school</t>
        </is>
      </c>
      <c r="E4" s="7" t="inlineStr">
        <is>
          <t>School Owner Dashboard</t>
        </is>
      </c>
      <c r="F4" s="7" t="inlineStr">
        <is>
          <t>School Owner Dashboard fails to load with 500 error when no students exist in the database.</t>
        </is>
      </c>
      <c r="G4" s="7" t="inlineStr">
        <is>
          <t>1. Create fresh school with zero students. 2. Navigate to /admin/school.</t>
        </is>
      </c>
      <c r="H4" s="7" t="inlineStr">
        <is>
          <t>Dashboard loads with empty-state messaging.</t>
        </is>
      </c>
      <c r="I4" s="7" t="inlineStr">
        <is>
          <t>Server returns 500 internal server error.</t>
        </is>
      </c>
      <c r="J4" s="7" t="inlineStr">
        <is>
          <t>Critical</t>
        </is>
      </c>
      <c r="K4" s="7" t="inlineStr">
        <is>
          <t>In Progress</t>
        </is>
      </c>
      <c r="L4" s="7" t="inlineStr">
        <is>
          <t>Future Developer</t>
        </is>
      </c>
      <c r="M4" s="7" t="inlineStr">
        <is>
          <t>2026-06-22</t>
        </is>
      </c>
      <c r="N4" s="7" t="inlineStr"/>
      <c r="O4" s="7" t="inlineStr">
        <is>
          <t>No</t>
        </is>
      </c>
      <c r="P4" s="7" t="inlineStr">
        <is>
          <t>No</t>
        </is>
      </c>
      <c r="Q4" s="7" t="inlineStr">
        <is>
          <t>Null check missing in school-analytics.ts.</t>
        </is>
      </c>
      <c r="R4" s="7" t="n"/>
    </row>
    <row r="5">
      <c r="A5" s="8" t="inlineStr">
        <is>
          <t>BUG-004</t>
        </is>
      </c>
      <c r="B5" s="8" t="inlineStr">
        <is>
          <t>2026-06-22</t>
        </is>
      </c>
      <c r="C5" s="8" t="inlineStr">
        <is>
          <t>Tester A</t>
        </is>
      </c>
      <c r="D5" s="8" t="inlineStr">
        <is>
          <t>Tester</t>
        </is>
      </c>
      <c r="E5" s="8" t="inlineStr">
        <is>
          <t>/dashboard/compliance</t>
        </is>
      </c>
      <c r="F5" s="8" t="inlineStr">
        <is>
          <t>Compliance Engine</t>
        </is>
      </c>
      <c r="G5" s="8" t="inlineStr">
        <is>
          <t>Compliance score shows 100 even when hours requirement is not met.</t>
        </is>
      </c>
      <c r="H5" s="8" t="inlineStr">
        <is>
          <t>1. Create student with 0 hours. 2. Open compliance dashboard.</t>
        </is>
      </c>
      <c r="I5" s="8" t="inlineStr">
        <is>
          <t>Compliance score reflects missing hours.</t>
        </is>
      </c>
      <c r="J5" s="8" t="inlineStr">
        <is>
          <t>Score displays 100 and marks all requirements met.</t>
        </is>
      </c>
      <c r="K5" s="8" t="inlineStr">
        <is>
          <t>Critical</t>
        </is>
      </c>
      <c r="L5" s="8" t="inlineStr">
        <is>
          <t>Testing</t>
        </is>
      </c>
      <c r="M5" s="8" t="inlineStr">
        <is>
          <t>OpenClaw</t>
        </is>
      </c>
      <c r="N5" s="8" t="inlineStr">
        <is>
          <t>2026-06-22</t>
        </is>
      </c>
      <c r="O5" s="8" t="inlineStr">
        <is>
          <t>2026-06-23</t>
        </is>
      </c>
      <c r="P5" s="8" t="inlineStr">
        <is>
          <t>Yes</t>
        </is>
      </c>
      <c r="Q5" s="8" t="inlineStr">
        <is>
          <t>No</t>
        </is>
      </c>
      <c r="R5" s="8" t="inlineStr">
        <is>
          <t>Fix deployed to staging.</t>
        </is>
      </c>
    </row>
    <row r="6">
      <c r="A6" s="7" t="inlineStr">
        <is>
          <t>BUG-005</t>
        </is>
      </c>
      <c r="B6" s="7" t="inlineStr">
        <is>
          <t>2026-06-23</t>
        </is>
      </c>
      <c r="C6" s="7" t="inlineStr">
        <is>
          <t>Jessica R.</t>
        </is>
      </c>
      <c r="D6" s="7" t="inlineStr">
        <is>
          <t>Student</t>
        </is>
      </c>
      <c r="E6" s="7" t="inlineStr">
        <is>
          <t>/login</t>
        </is>
      </c>
      <c r="F6" s="7" t="inlineStr">
        <is>
          <t>Authentication</t>
        </is>
      </c>
      <c r="G6" s="7" t="inlineStr">
        <is>
          <t>Reset password email link redirects to localhost instead of production domain.</t>
        </is>
      </c>
      <c r="H6" s="7" t="inlineStr">
        <is>
          <t>1. Request password reset. 2. Click link in email.</t>
        </is>
      </c>
      <c r="I6" s="7" t="inlineStr">
        <is>
          <t>Link redirects to production reset-password page.</t>
        </is>
      </c>
      <c r="J6" s="7" t="inlineStr">
        <is>
          <t>Link redirects to http://localhost:3000/update-password.</t>
        </is>
      </c>
      <c r="K6" s="7" t="inlineStr">
        <is>
          <t>Critical</t>
        </is>
      </c>
      <c r="L6" s="7" t="inlineStr">
        <is>
          <t>Open</t>
        </is>
      </c>
      <c r="M6" s="7" t="inlineStr">
        <is>
          <t>OpenClaw</t>
        </is>
      </c>
      <c r="N6" s="7" t="inlineStr"/>
      <c r="O6" s="7" t="inlineStr"/>
      <c r="P6" s="7" t="inlineStr">
        <is>
          <t>No</t>
        </is>
      </c>
      <c r="Q6" s="7" t="inlineStr">
        <is>
          <t>No</t>
        </is>
      </c>
      <c r="R6" s="7" t="inlineStr">
        <is>
          <t>Environment variable issue.</t>
        </is>
      </c>
    </row>
  </sheetData>
  <autoFilter ref="A1:R106"/>
  <conditionalFormatting sqref="K2:K10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A2:Q1000">
    <cfRule type="expression" priority="5" dxfId="3">
      <formula>$L2="Resolved"</formula>
    </cfRule>
    <cfRule type="expression" priority="6" dxfId="0">
      <formula>$L2="Open"</formula>
    </cfRule>
  </conditionalFormatting>
  <dataValidations count="5">
    <dataValidation sqref="K2:K1000" showDropDown="0" showInputMessage="0" showErrorMessage="0" allowBlank="0" errorTitle="Invalid Priority" error="Please select a valid priority" type="list">
      <formula1>"Critical,High,Medium,Low"</formula1>
    </dataValidation>
    <dataValidation sqref="L2:L1000" showDropDown="0" showInputMessage="0" showErrorMessage="0" allowBlank="0" errorTitle="Invalid Status" error="Please select a valid status" type="list">
      <formula1>"Open,Investigating,In Progress,Testing,Resolved,Closed"</formula1>
    </dataValidation>
    <dataValidation sqref="D2:D1000" showDropDown="0" showInputMessage="0" showErrorMessage="0" allowBlank="0" errorTitle="Invalid User Type" error="Please select a valid user type" type="list">
      <formula1>"Student,Instructor,School Owner,Administrator,Tester"</formula1>
    </dataValidation>
    <dataValidation sqref="M2:M1000" showDropDown="0" showInputMessage="0" showErrorMessage="0" allowBlank="1" errorTitle="Invalid Assignee" error="Please select a valid assignee" type="list">
      <formula1>"Gabriel,OpenClaw,Future Developer"</formula1>
    </dataValidation>
    <dataValidation sqref="P2:Q1000" showDropDown="0" showInputMessage="0" showErrorMessage="0" allowBlank="0" errorTitle="Invalid Value" error="Please select Yes or No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4" customWidth="1" min="4" max="4"/>
    <col width="24" customWidth="1" min="5" max="5"/>
    <col width="22" customWidth="1" min="6" max="6"/>
    <col width="50" customWidth="1" min="7" max="7"/>
    <col width="50" customWidth="1" min="8" max="8"/>
    <col width="50" customWidth="1" min="9" max="9"/>
    <col width="50" customWidth="1" min="10" max="10"/>
    <col width="10" customWidth="1" min="11" max="11"/>
    <col width="15" customWidth="1" min="12" max="12"/>
    <col width="18" customWidth="1" min="13" max="13"/>
    <col width="15" customWidth="1" min="14" max="14"/>
    <col width="12" customWidth="1" min="15" max="15"/>
    <col width="16" customWidth="1" min="16" max="16"/>
    <col width="19" customWidth="1" min="17" max="17"/>
    <col width="27" customWidth="1" min="18" max="18"/>
  </cols>
  <sheetData>
    <row r="1" ht="35" customHeight="1">
      <c r="A1" s="6" t="inlineStr">
        <is>
          <t>Bug ID</t>
        </is>
      </c>
      <c r="B1" s="6" t="inlineStr">
        <is>
          <t>Date Reported</t>
        </is>
      </c>
      <c r="C1" s="6" t="inlineStr">
        <is>
          <t>Reported By</t>
        </is>
      </c>
      <c r="D1" s="6" t="inlineStr">
        <is>
          <t>User Type</t>
        </is>
      </c>
      <c r="E1" s="6" t="inlineStr">
        <is>
          <t>Page / Screen</t>
        </is>
      </c>
      <c r="F1" s="6" t="inlineStr">
        <is>
          <t>Feature</t>
        </is>
      </c>
      <c r="G1" s="6" t="inlineStr">
        <is>
          <t>Description</t>
        </is>
      </c>
      <c r="H1" s="6" t="inlineStr">
        <is>
          <t>Steps to Reproduce</t>
        </is>
      </c>
      <c r="I1" s="6" t="inlineStr">
        <is>
          <t>Expected Result</t>
        </is>
      </c>
      <c r="J1" s="6" t="inlineStr">
        <is>
          <t>Actual Result</t>
        </is>
      </c>
      <c r="K1" s="6" t="inlineStr">
        <is>
          <t>Priority</t>
        </is>
      </c>
      <c r="L1" s="6" t="inlineStr">
        <is>
          <t>Status</t>
        </is>
      </c>
      <c r="M1" s="6" t="inlineStr">
        <is>
          <t>Assigned To</t>
        </is>
      </c>
      <c r="N1" s="6" t="inlineStr">
        <is>
          <t>Date Assigned</t>
        </is>
      </c>
      <c r="O1" s="6" t="inlineStr">
        <is>
          <t>Date Fixed</t>
        </is>
      </c>
      <c r="P1" s="6" t="inlineStr">
        <is>
          <t>Fixed (Yes/No)</t>
        </is>
      </c>
      <c r="Q1" s="6" t="inlineStr">
        <is>
          <t>Verified (Yes/No)</t>
        </is>
      </c>
      <c r="R1" s="6" t="inlineStr">
        <is>
          <t>Notes</t>
        </is>
      </c>
    </row>
    <row r="2">
      <c r="A2" s="7" t="inlineStr">
        <is>
          <t>BUG-006</t>
        </is>
      </c>
      <c r="B2" s="7" t="inlineStr">
        <is>
          <t>2026-06-20</t>
        </is>
      </c>
      <c r="C2" s="7" t="inlineStr">
        <is>
          <t>David K.</t>
        </is>
      </c>
      <c r="D2" s="7" t="inlineStr">
        <is>
          <t>Instructor</t>
        </is>
      </c>
      <c r="E2" s="7" t="inlineStr">
        <is>
          <t>/instructor/gradebook</t>
        </is>
      </c>
      <c r="F2" s="7" t="inlineStr">
        <is>
          <t>Gradebook</t>
        </is>
      </c>
      <c r="G2" s="7" t="inlineStr">
        <is>
          <t>Gradebook does not recalculate weighted grade after deleting a category.</t>
        </is>
      </c>
      <c r="H2" s="7" t="inlineStr">
        <is>
          <t>1. Add grades to multiple categories. 2. Delete a category. 3. View overall grade.</t>
        </is>
      </c>
      <c r="I2" s="7" t="inlineStr">
        <is>
          <t>Overall grade recalculates excluding deleted category.</t>
        </is>
      </c>
      <c r="J2" s="7" t="inlineStr">
        <is>
          <t>Old weighted grade remains displayed.</t>
        </is>
      </c>
      <c r="K2" s="7" t="inlineStr">
        <is>
          <t>High</t>
        </is>
      </c>
      <c r="L2" s="7" t="inlineStr">
        <is>
          <t>In Progress</t>
        </is>
      </c>
      <c r="M2" s="7" t="inlineStr">
        <is>
          <t>OpenClaw</t>
        </is>
      </c>
      <c r="N2" s="7" t="inlineStr">
        <is>
          <t>2026-06-21</t>
        </is>
      </c>
      <c r="O2" s="7" t="inlineStr"/>
      <c r="P2" s="7" t="inlineStr">
        <is>
          <t>No</t>
        </is>
      </c>
      <c r="Q2" s="7" t="inlineStr">
        <is>
          <t>No</t>
        </is>
      </c>
      <c r="R2" s="7" t="inlineStr"/>
    </row>
    <row r="3">
      <c r="A3" s="8" t="inlineStr">
        <is>
          <t>BUG-007</t>
        </is>
      </c>
      <c r="B3" s="8" t="inlineStr">
        <is>
          <t>2026-06-21</t>
        </is>
      </c>
      <c r="C3" s="8" t="inlineStr">
        <is>
          <t>Emma W.</t>
        </is>
      </c>
      <c r="D3" s="8" t="inlineStr">
        <is>
          <t>Student</t>
        </is>
      </c>
      <c r="E3" s="8" t="inlineStr">
        <is>
          <t>/dashboard/messages</t>
        </is>
      </c>
      <c r="F3" s="8" t="inlineStr">
        <is>
          <t>Messaging</t>
        </is>
      </c>
      <c r="G3" s="8" t="inlineStr">
        <is>
          <t>Unread message badge does not update after reading all messages.</t>
        </is>
      </c>
      <c r="H3" s="8" t="inlineStr">
        <is>
          <t>1. Receive a message. 2. Open and read it. 3. Return to dashboard.</t>
        </is>
      </c>
      <c r="I3" s="8" t="inlineStr">
        <is>
          <t>Badge count resets to zero.</t>
        </is>
      </c>
      <c r="J3" s="8" t="inlineStr">
        <is>
          <t>Badge still shows one unread message.</t>
        </is>
      </c>
      <c r="K3" s="8" t="inlineStr">
        <is>
          <t>High</t>
        </is>
      </c>
      <c r="L3" s="8" t="inlineStr">
        <is>
          <t>Open</t>
        </is>
      </c>
      <c r="M3" s="8" t="inlineStr">
        <is>
          <t>Future Developer</t>
        </is>
      </c>
      <c r="N3" s="8" t="inlineStr"/>
      <c r="O3" s="8" t="inlineStr"/>
      <c r="P3" s="8" t="inlineStr">
        <is>
          <t>No</t>
        </is>
      </c>
      <c r="Q3" s="8" t="inlineStr">
        <is>
          <t>No</t>
        </is>
      </c>
      <c r="R3" s="8" t="inlineStr">
        <is>
          <t>Cache invalidation issue.</t>
        </is>
      </c>
    </row>
    <row r="4">
      <c r="A4" s="7" t="inlineStr">
        <is>
          <t>BUG-008</t>
        </is>
      </c>
      <c r="B4" s="7" t="inlineStr">
        <is>
          <t>2026-06-22</t>
        </is>
      </c>
      <c r="C4" s="7" t="inlineStr">
        <is>
          <t>Carlos M.</t>
        </is>
      </c>
      <c r="D4" s="7" t="inlineStr">
        <is>
          <t>School Owner</t>
        </is>
      </c>
      <c r="E4" s="7" t="inlineStr">
        <is>
          <t>/admin/school</t>
        </is>
      </c>
      <c r="F4" s="7" t="inlineStr">
        <is>
          <t>Reports</t>
        </is>
      </c>
      <c r="G4" s="7" t="inlineStr">
        <is>
          <t>School summary report CSV export contains duplicate student rows.</t>
        </is>
      </c>
      <c r="H4" s="7" t="inlineStr">
        <is>
          <t>1. Go to School Owner Dashboard. 2. Click Export CSV on School Summary.</t>
        </is>
      </c>
      <c r="I4" s="7" t="inlineStr">
        <is>
          <t>CSV contains one row per student.</t>
        </is>
      </c>
      <c r="J4" s="7" t="inlineStr">
        <is>
          <t>CSV contains duplicate rows for students with multiple enrollments.</t>
        </is>
      </c>
      <c r="K4" s="7" t="inlineStr">
        <is>
          <t>High</t>
        </is>
      </c>
      <c r="L4" s="7" t="inlineStr">
        <is>
          <t>Investigating</t>
        </is>
      </c>
      <c r="M4" s="7" t="inlineStr">
        <is>
          <t>Gabriel</t>
        </is>
      </c>
      <c r="N4" s="7" t="inlineStr">
        <is>
          <t>2026-06-22</t>
        </is>
      </c>
      <c r="O4" s="7" t="inlineStr"/>
      <c r="P4" s="7" t="inlineStr">
        <is>
          <t>No</t>
        </is>
      </c>
      <c r="Q4" s="7" t="inlineStr">
        <is>
          <t>No</t>
        </is>
      </c>
      <c r="R4" s="7" t="inlineStr"/>
    </row>
    <row r="5">
      <c r="A5" s="8" t="inlineStr">
        <is>
          <t>BUG-009</t>
        </is>
      </c>
      <c r="B5" s="8" t="inlineStr">
        <is>
          <t>2026-06-22</t>
        </is>
      </c>
      <c r="C5" s="8" t="inlineStr">
        <is>
          <t>Tester B</t>
        </is>
      </c>
      <c r="D5" s="8" t="inlineStr">
        <is>
          <t>Tester</t>
        </is>
      </c>
      <c r="E5" s="8" t="inlineStr">
        <is>
          <t>/dashboard/progress</t>
        </is>
      </c>
      <c r="F5" s="8" t="inlineStr">
        <is>
          <t>Progress Tracking</t>
        </is>
      </c>
      <c r="G5" s="8" t="inlineStr">
        <is>
          <t>Progress percentage shows 100% for chapters with no completed quizzes.</t>
        </is>
      </c>
      <c r="H5" s="8" t="inlineStr">
        <is>
          <t>1. Open progress page. 2. Review chapter with no quiz attempts.</t>
        </is>
      </c>
      <c r="I5" s="8" t="inlineStr">
        <is>
          <t>Chapter shows 0% or Not Started.</t>
        </is>
      </c>
      <c r="J5" s="8" t="inlineStr">
        <is>
          <t>Chapter shows 100% complete.</t>
        </is>
      </c>
      <c r="K5" s="8" t="inlineStr">
        <is>
          <t>High</t>
        </is>
      </c>
      <c r="L5" s="8" t="inlineStr">
        <is>
          <t>Testing</t>
        </is>
      </c>
      <c r="M5" s="8" t="inlineStr">
        <is>
          <t>OpenClaw</t>
        </is>
      </c>
      <c r="N5" s="8" t="inlineStr">
        <is>
          <t>2026-06-22</t>
        </is>
      </c>
      <c r="O5" s="8" t="inlineStr">
        <is>
          <t>2026-06-23</t>
        </is>
      </c>
      <c r="P5" s="8" t="inlineStr">
        <is>
          <t>Yes</t>
        </is>
      </c>
      <c r="Q5" s="8" t="inlineStr">
        <is>
          <t>No</t>
        </is>
      </c>
      <c r="R5" s="8" t="inlineStr"/>
    </row>
    <row r="6">
      <c r="A6" s="7" t="inlineStr">
        <is>
          <t>BUG-010</t>
        </is>
      </c>
      <c r="B6" s="7" t="inlineStr">
        <is>
          <t>2026-06-23</t>
        </is>
      </c>
      <c r="C6" s="7" t="inlineStr">
        <is>
          <t>Lisa P.</t>
        </is>
      </c>
      <c r="D6" s="7" t="inlineStr">
        <is>
          <t>Instructor</t>
        </is>
      </c>
      <c r="E6" s="7" t="inlineStr">
        <is>
          <t>/instructor/compliance</t>
        </is>
      </c>
      <c r="F6" s="7" t="inlineStr">
        <is>
          <t>Compliance Dashboard</t>
        </is>
      </c>
      <c r="G6" s="7" t="inlineStr">
        <is>
          <t>Instructor compliance page loads slowly with 50+ students.</t>
        </is>
      </c>
      <c r="H6" s="7" t="inlineStr">
        <is>
          <t>1. Assign 50+ students to instructor. 2. Open /instructor/compliance.</t>
        </is>
      </c>
      <c r="I6" s="7" t="inlineStr">
        <is>
          <t>Page loads within 2 seconds.</t>
        </is>
      </c>
      <c r="J6" s="7" t="inlineStr">
        <is>
          <t>Page takes 8+ seconds to load.</t>
        </is>
      </c>
      <c r="K6" s="7" t="inlineStr">
        <is>
          <t>High</t>
        </is>
      </c>
      <c r="L6" s="7" t="inlineStr">
        <is>
          <t>Open</t>
        </is>
      </c>
      <c r="M6" s="7" t="inlineStr">
        <is>
          <t>Future Developer</t>
        </is>
      </c>
      <c r="N6" s="7" t="inlineStr"/>
      <c r="O6" s="7" t="inlineStr"/>
      <c r="P6" s="7" t="inlineStr">
        <is>
          <t>No</t>
        </is>
      </c>
      <c r="Q6" s="7" t="inlineStr">
        <is>
          <t>No</t>
        </is>
      </c>
      <c r="R6" s="7" t="inlineStr">
        <is>
          <t>Needs query optimization.</t>
        </is>
      </c>
    </row>
  </sheetData>
  <autoFilter ref="A1:R106"/>
  <conditionalFormatting sqref="K2:K10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A2:Q1000">
    <cfRule type="expression" priority="5" dxfId="3">
      <formula>$L2="Resolved"</formula>
    </cfRule>
    <cfRule type="expression" priority="6" dxfId="0">
      <formula>$L2="Open"</formula>
    </cfRule>
  </conditionalFormatting>
  <dataValidations count="5">
    <dataValidation sqref="K2:K1000" showDropDown="0" showInputMessage="0" showErrorMessage="0" allowBlank="0" errorTitle="Invalid Priority" error="Please select a valid priority" type="list">
      <formula1>"Critical,High,Medium,Low"</formula1>
    </dataValidation>
    <dataValidation sqref="L2:L1000" showDropDown="0" showInputMessage="0" showErrorMessage="0" allowBlank="0" errorTitle="Invalid Status" error="Please select a valid status" type="list">
      <formula1>"Open,Investigating,In Progress,Testing,Resolved,Closed"</formula1>
    </dataValidation>
    <dataValidation sqref="D2:D1000" showDropDown="0" showInputMessage="0" showErrorMessage="0" allowBlank="0" errorTitle="Invalid User Type" error="Please select a valid user type" type="list">
      <formula1>"Student,Instructor,School Owner,Administrator,Tester"</formula1>
    </dataValidation>
    <dataValidation sqref="M2:M1000" showDropDown="0" showInputMessage="0" showErrorMessage="0" allowBlank="1" errorTitle="Invalid Assignee" error="Please select a valid assignee" type="list">
      <formula1>"Gabriel,OpenClaw,Future Developer"</formula1>
    </dataValidation>
    <dataValidation sqref="P2:Q1000" showDropDown="0" showInputMessage="0" showErrorMessage="0" allowBlank="0" errorTitle="Invalid Value" error="Please select Yes or No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4" customWidth="1" min="3" max="3"/>
    <col width="15" customWidth="1" min="4" max="4"/>
    <col width="23" customWidth="1" min="5" max="5"/>
    <col width="17" customWidth="1" min="6" max="6"/>
    <col width="50" customWidth="1" min="7" max="7"/>
    <col width="50" customWidth="1" min="8" max="8"/>
    <col width="46" customWidth="1" min="9" max="9"/>
    <col width="50" customWidth="1" min="10" max="10"/>
    <col width="10" customWidth="1" min="11" max="11"/>
    <col width="15" customWidth="1" min="12" max="12"/>
    <col width="18" customWidth="1" min="13" max="13"/>
    <col width="15" customWidth="1" min="14" max="14"/>
    <col width="12" customWidth="1" min="15" max="15"/>
    <col width="16" customWidth="1" min="16" max="16"/>
    <col width="19" customWidth="1" min="17" max="17"/>
    <col width="31" customWidth="1" min="18" max="18"/>
  </cols>
  <sheetData>
    <row r="1" ht="35" customHeight="1">
      <c r="A1" s="6" t="inlineStr">
        <is>
          <t>Bug ID</t>
        </is>
      </c>
      <c r="B1" s="6" t="inlineStr">
        <is>
          <t>Date Reported</t>
        </is>
      </c>
      <c r="C1" s="6" t="inlineStr">
        <is>
          <t>Reported By</t>
        </is>
      </c>
      <c r="D1" s="6" t="inlineStr">
        <is>
          <t>User Type</t>
        </is>
      </c>
      <c r="E1" s="6" t="inlineStr">
        <is>
          <t>Page / Screen</t>
        </is>
      </c>
      <c r="F1" s="6" t="inlineStr">
        <is>
          <t>Feature</t>
        </is>
      </c>
      <c r="G1" s="6" t="inlineStr">
        <is>
          <t>Description</t>
        </is>
      </c>
      <c r="H1" s="6" t="inlineStr">
        <is>
          <t>Steps to Reproduce</t>
        </is>
      </c>
      <c r="I1" s="6" t="inlineStr">
        <is>
          <t>Expected Result</t>
        </is>
      </c>
      <c r="J1" s="6" t="inlineStr">
        <is>
          <t>Actual Result</t>
        </is>
      </c>
      <c r="K1" s="6" t="inlineStr">
        <is>
          <t>Priority</t>
        </is>
      </c>
      <c r="L1" s="6" t="inlineStr">
        <is>
          <t>Status</t>
        </is>
      </c>
      <c r="M1" s="6" t="inlineStr">
        <is>
          <t>Assigned To</t>
        </is>
      </c>
      <c r="N1" s="6" t="inlineStr">
        <is>
          <t>Date Assigned</t>
        </is>
      </c>
      <c r="O1" s="6" t="inlineStr">
        <is>
          <t>Date Fixed</t>
        </is>
      </c>
      <c r="P1" s="6" t="inlineStr">
        <is>
          <t>Fixed (Yes/No)</t>
        </is>
      </c>
      <c r="Q1" s="6" t="inlineStr">
        <is>
          <t>Verified (Yes/No)</t>
        </is>
      </c>
      <c r="R1" s="6" t="inlineStr">
        <is>
          <t>Notes</t>
        </is>
      </c>
    </row>
    <row r="2">
      <c r="A2" s="7" t="inlineStr">
        <is>
          <t>BUG-011</t>
        </is>
      </c>
      <c r="B2" s="7" t="inlineStr">
        <is>
          <t>2026-06-20</t>
        </is>
      </c>
      <c r="C2" s="7" t="inlineStr">
        <is>
          <t>Tom H.</t>
        </is>
      </c>
      <c r="D2" s="7" t="inlineStr">
        <is>
          <t>Student</t>
        </is>
      </c>
      <c r="E2" s="7" t="inlineStr">
        <is>
          <t>/dashboard/chapters/5</t>
        </is>
      </c>
      <c r="F2" s="7" t="inlineStr">
        <is>
          <t>Chapter Content</t>
        </is>
      </c>
      <c r="G2" s="7" t="inlineStr">
        <is>
          <t>Chapter 5 images fail to load on mobile devices.</t>
        </is>
      </c>
      <c r="H2" s="7" t="inlineStr">
        <is>
          <t>1. Open Chapter 5 on iPhone. 2. Scroll to image sections.</t>
        </is>
      </c>
      <c r="I2" s="7" t="inlineStr">
        <is>
          <t>Images display correctly.</t>
        </is>
      </c>
      <c r="J2" s="7" t="inlineStr">
        <is>
          <t>Image placeholders appear with broken-link icon.</t>
        </is>
      </c>
      <c r="K2" s="7" t="inlineStr">
        <is>
          <t>Medium</t>
        </is>
      </c>
      <c r="L2" s="7" t="inlineStr">
        <is>
          <t>Open</t>
        </is>
      </c>
      <c r="M2" s="7" t="inlineStr">
        <is>
          <t>OpenClaw</t>
        </is>
      </c>
      <c r="N2" s="7" t="inlineStr"/>
      <c r="O2" s="7" t="inlineStr"/>
      <c r="P2" s="7" t="inlineStr">
        <is>
          <t>No</t>
        </is>
      </c>
      <c r="Q2" s="7" t="inlineStr">
        <is>
          <t>No</t>
        </is>
      </c>
      <c r="R2" s="7" t="inlineStr">
        <is>
          <t>Likely path resolution issue.</t>
        </is>
      </c>
    </row>
    <row r="3">
      <c r="A3" s="8" t="inlineStr">
        <is>
          <t>BUG-012</t>
        </is>
      </c>
      <c r="B3" s="8" t="inlineStr">
        <is>
          <t>2026-06-21</t>
        </is>
      </c>
      <c r="C3" s="8" t="inlineStr">
        <is>
          <t>Nancy B.</t>
        </is>
      </c>
      <c r="D3" s="8" t="inlineStr">
        <is>
          <t>Administrator</t>
        </is>
      </c>
      <c r="E3" s="8" t="inlineStr">
        <is>
          <t>/admin</t>
        </is>
      </c>
      <c r="F3" s="8" t="inlineStr">
        <is>
          <t>Admin Portal</t>
        </is>
      </c>
      <c r="G3" s="8" t="inlineStr">
        <is>
          <t>Admin user cannot filter user list by role.</t>
        </is>
      </c>
      <c r="H3" s="8" t="inlineStr">
        <is>
          <t>1. Go to Admin Portal. 2. Select role filter. 3. Apply.</t>
        </is>
      </c>
      <c r="I3" s="8" t="inlineStr">
        <is>
          <t>User list filters by selected role.</t>
        </is>
      </c>
      <c r="J3" s="8" t="inlineStr">
        <is>
          <t>Filter dropdown has no effect.</t>
        </is>
      </c>
      <c r="K3" s="8" t="inlineStr">
        <is>
          <t>Medium</t>
        </is>
      </c>
      <c r="L3" s="8" t="inlineStr">
        <is>
          <t>In Progress</t>
        </is>
      </c>
      <c r="M3" s="8" t="inlineStr">
        <is>
          <t>Future Developer</t>
        </is>
      </c>
      <c r="N3" s="8" t="inlineStr">
        <is>
          <t>2026-06-21</t>
        </is>
      </c>
      <c r="O3" s="8" t="inlineStr"/>
      <c r="P3" s="8" t="inlineStr">
        <is>
          <t>No</t>
        </is>
      </c>
      <c r="Q3" s="8" t="inlineStr">
        <is>
          <t>No</t>
        </is>
      </c>
      <c r="R3" s="8" t="inlineStr"/>
    </row>
    <row r="4">
      <c r="A4" s="7" t="inlineStr">
        <is>
          <t>BUG-013</t>
        </is>
      </c>
      <c r="B4" s="7" t="inlineStr">
        <is>
          <t>2026-06-22</t>
        </is>
      </c>
      <c r="C4" s="7" t="inlineStr">
        <is>
          <t>Student X</t>
        </is>
      </c>
      <c r="D4" s="7" t="inlineStr">
        <is>
          <t>Student</t>
        </is>
      </c>
      <c r="E4" s="7" t="inlineStr">
        <is>
          <t>/dashboard/grades</t>
        </is>
      </c>
      <c r="F4" s="7" t="inlineStr">
        <is>
          <t>Gradebook</t>
        </is>
      </c>
      <c r="G4" s="7" t="inlineStr">
        <is>
          <t>Letter grade shown as 'N/A' despite numeric score above 90.</t>
        </is>
      </c>
      <c r="H4" s="7" t="inlineStr">
        <is>
          <t>1. Complete assessments. 2. View grades page.</t>
        </is>
      </c>
      <c r="I4" s="7" t="inlineStr">
        <is>
          <t>Letter grade shows A.</t>
        </is>
      </c>
      <c r="J4" s="7" t="inlineStr">
        <is>
          <t>Letter grade shows N/A.</t>
        </is>
      </c>
      <c r="K4" s="7" t="inlineStr">
        <is>
          <t>Medium</t>
        </is>
      </c>
      <c r="L4" s="7" t="inlineStr">
        <is>
          <t>Investigating</t>
        </is>
      </c>
      <c r="M4" s="7" t="inlineStr">
        <is>
          <t>Gabriel</t>
        </is>
      </c>
      <c r="N4" s="7" t="inlineStr">
        <is>
          <t>2026-06-22</t>
        </is>
      </c>
      <c r="O4" s="7" t="inlineStr"/>
      <c r="P4" s="7" t="inlineStr">
        <is>
          <t>No</t>
        </is>
      </c>
      <c r="Q4" s="7" t="inlineStr">
        <is>
          <t>No</t>
        </is>
      </c>
      <c r="R4" s="7" t="inlineStr"/>
    </row>
    <row r="5">
      <c r="A5" s="8" t="inlineStr">
        <is>
          <t>BUG-014</t>
        </is>
      </c>
      <c r="B5" s="8" t="inlineStr">
        <is>
          <t>2026-06-22</t>
        </is>
      </c>
      <c r="C5" s="8" t="inlineStr">
        <is>
          <t>Instructor Y</t>
        </is>
      </c>
      <c r="D5" s="8" t="inlineStr">
        <is>
          <t>Instructor</t>
        </is>
      </c>
      <c r="E5" s="8" t="inlineStr">
        <is>
          <t>/instructor/rubrics</t>
        </is>
      </c>
      <c r="F5" s="8" t="inlineStr">
        <is>
          <t>Rubrics</t>
        </is>
      </c>
      <c r="G5" s="8" t="inlineStr">
        <is>
          <t>Rubric criteria text overlaps when criteria name exceeds 40 characters.</t>
        </is>
      </c>
      <c r="H5" s="8" t="inlineStr">
        <is>
          <t>1. Create rubric with long criterion name. 2. Open rubric evaluator.</t>
        </is>
      </c>
      <c r="I5" s="8" t="inlineStr">
        <is>
          <t>Text wraps cleanly.</t>
        </is>
      </c>
      <c r="J5" s="8" t="inlineStr">
        <is>
          <t>Text overflows and overlaps adjacent cells.</t>
        </is>
      </c>
      <c r="K5" s="8" t="inlineStr">
        <is>
          <t>Medium</t>
        </is>
      </c>
      <c r="L5" s="8" t="inlineStr">
        <is>
          <t>Open</t>
        </is>
      </c>
      <c r="M5" s="8" t="inlineStr">
        <is>
          <t>OpenClaw</t>
        </is>
      </c>
      <c r="N5" s="8" t="inlineStr"/>
      <c r="O5" s="8" t="inlineStr"/>
      <c r="P5" s="8" t="inlineStr">
        <is>
          <t>No</t>
        </is>
      </c>
      <c r="Q5" s="8" t="inlineStr">
        <is>
          <t>No</t>
        </is>
      </c>
      <c r="R5" s="8" t="inlineStr">
        <is>
          <t>CSS wrapping issue.</t>
        </is>
      </c>
    </row>
    <row r="6">
      <c r="A6" s="7" t="inlineStr">
        <is>
          <t>BUG-015</t>
        </is>
      </c>
      <c r="B6" s="7" t="inlineStr">
        <is>
          <t>2026-06-23</t>
        </is>
      </c>
      <c r="C6" s="7" t="inlineStr">
        <is>
          <t>Owner Z</t>
        </is>
      </c>
      <c r="D6" s="7" t="inlineStr">
        <is>
          <t>School Owner</t>
        </is>
      </c>
      <c r="E6" s="7" t="inlineStr">
        <is>
          <t>/admin/school</t>
        </is>
      </c>
      <c r="F6" s="7" t="inlineStr">
        <is>
          <t>Analytics</t>
        </is>
      </c>
      <c r="G6" s="7" t="inlineStr">
        <is>
          <t>Attendance trend chart shows incorrect dates after timezone change.</t>
        </is>
      </c>
      <c r="H6" s="7" t="inlineStr">
        <is>
          <t>1. Change system timezone. 2. View attendance trend.</t>
        </is>
      </c>
      <c r="I6" s="7" t="inlineStr">
        <is>
          <t>Dates remain consistent with local timezone.</t>
        </is>
      </c>
      <c r="J6" s="7" t="inlineStr">
        <is>
          <t>Dates shift by one day.</t>
        </is>
      </c>
      <c r="K6" s="7" t="inlineStr">
        <is>
          <t>Medium</t>
        </is>
      </c>
      <c r="L6" s="7" t="inlineStr">
        <is>
          <t>Open</t>
        </is>
      </c>
      <c r="M6" s="7" t="inlineStr">
        <is>
          <t>Future Developer</t>
        </is>
      </c>
      <c r="N6" s="7" t="inlineStr"/>
      <c r="O6" s="7" t="inlineStr"/>
      <c r="P6" s="7" t="inlineStr">
        <is>
          <t>No</t>
        </is>
      </c>
      <c r="Q6" s="7" t="inlineStr">
        <is>
          <t>No</t>
        </is>
      </c>
      <c r="R6" s="7" t="inlineStr"/>
    </row>
  </sheetData>
  <autoFilter ref="A1:R106"/>
  <conditionalFormatting sqref="K2:K10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A2:Q1000">
    <cfRule type="expression" priority="5" dxfId="3">
      <formula>$L2="Resolved"</formula>
    </cfRule>
    <cfRule type="expression" priority="6" dxfId="0">
      <formula>$L2="Open"</formula>
    </cfRule>
  </conditionalFormatting>
  <dataValidations count="5">
    <dataValidation sqref="K2:K1000" showDropDown="0" showInputMessage="0" showErrorMessage="0" allowBlank="0" errorTitle="Invalid Priority" error="Please select a valid priority" type="list">
      <formula1>"Critical,High,Medium,Low"</formula1>
    </dataValidation>
    <dataValidation sqref="L2:L1000" showDropDown="0" showInputMessage="0" showErrorMessage="0" allowBlank="0" errorTitle="Invalid Status" error="Please select a valid status" type="list">
      <formula1>"Open,Investigating,In Progress,Testing,Resolved,Closed"</formula1>
    </dataValidation>
    <dataValidation sqref="D2:D1000" showDropDown="0" showInputMessage="0" showErrorMessage="0" allowBlank="0" errorTitle="Invalid User Type" error="Please select a valid user type" type="list">
      <formula1>"Student,Instructor,School Owner,Administrator,Tester"</formula1>
    </dataValidation>
    <dataValidation sqref="M2:M1000" showDropDown="0" showInputMessage="0" showErrorMessage="0" allowBlank="1" errorTitle="Invalid Assignee" error="Please select a valid assignee" type="list">
      <formula1>"Gabriel,OpenClaw,Future Developer"</formula1>
    </dataValidation>
    <dataValidation sqref="P2:Q1000" showDropDown="0" showInputMessage="0" showErrorMessage="0" allowBlank="0" errorTitle="Invalid Value" error="Please select Yes or No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2" customWidth="1" min="4" max="4"/>
    <col width="29" customWidth="1" min="5" max="5"/>
    <col width="18" customWidth="1" min="6" max="6"/>
    <col width="50" customWidth="1" min="7" max="7"/>
    <col width="50" customWidth="1" min="8" max="8"/>
    <col width="40" customWidth="1" min="9" max="9"/>
    <col width="49" customWidth="1" min="10" max="10"/>
    <col width="10" customWidth="1" min="11" max="11"/>
    <col width="15" customWidth="1" min="12" max="12"/>
    <col width="18" customWidth="1" min="13" max="13"/>
    <col width="15" customWidth="1" min="14" max="14"/>
    <col width="12" customWidth="1" min="15" max="15"/>
    <col width="16" customWidth="1" min="16" max="16"/>
    <col width="19" customWidth="1" min="17" max="17"/>
    <col width="16" customWidth="1" min="18" max="18"/>
  </cols>
  <sheetData>
    <row r="1" ht="35" customHeight="1">
      <c r="A1" s="6" t="inlineStr">
        <is>
          <t>Bug ID</t>
        </is>
      </c>
      <c r="B1" s="6" t="inlineStr">
        <is>
          <t>Date Reported</t>
        </is>
      </c>
      <c r="C1" s="6" t="inlineStr">
        <is>
          <t>Reported By</t>
        </is>
      </c>
      <c r="D1" s="6" t="inlineStr">
        <is>
          <t>User Type</t>
        </is>
      </c>
      <c r="E1" s="6" t="inlineStr">
        <is>
          <t>Page / Screen</t>
        </is>
      </c>
      <c r="F1" s="6" t="inlineStr">
        <is>
          <t>Feature</t>
        </is>
      </c>
      <c r="G1" s="6" t="inlineStr">
        <is>
          <t>Description</t>
        </is>
      </c>
      <c r="H1" s="6" t="inlineStr">
        <is>
          <t>Steps to Reproduce</t>
        </is>
      </c>
      <c r="I1" s="6" t="inlineStr">
        <is>
          <t>Expected Result</t>
        </is>
      </c>
      <c r="J1" s="6" t="inlineStr">
        <is>
          <t>Actual Result</t>
        </is>
      </c>
      <c r="K1" s="6" t="inlineStr">
        <is>
          <t>Priority</t>
        </is>
      </c>
      <c r="L1" s="6" t="inlineStr">
        <is>
          <t>Status</t>
        </is>
      </c>
      <c r="M1" s="6" t="inlineStr">
        <is>
          <t>Assigned To</t>
        </is>
      </c>
      <c r="N1" s="6" t="inlineStr">
        <is>
          <t>Date Assigned</t>
        </is>
      </c>
      <c r="O1" s="6" t="inlineStr">
        <is>
          <t>Date Fixed</t>
        </is>
      </c>
      <c r="P1" s="6" t="inlineStr">
        <is>
          <t>Fixed (Yes/No)</t>
        </is>
      </c>
      <c r="Q1" s="6" t="inlineStr">
        <is>
          <t>Verified (Yes/No)</t>
        </is>
      </c>
      <c r="R1" s="6" t="inlineStr">
        <is>
          <t>Notes</t>
        </is>
      </c>
    </row>
    <row r="2">
      <c r="A2" s="7" t="inlineStr">
        <is>
          <t>BUG-016</t>
        </is>
      </c>
      <c r="B2" s="7" t="inlineStr">
        <is>
          <t>2026-06-20</t>
        </is>
      </c>
      <c r="C2" s="7" t="inlineStr">
        <is>
          <t>Anna L.</t>
        </is>
      </c>
      <c r="D2" s="7" t="inlineStr">
        <is>
          <t>Student</t>
        </is>
      </c>
      <c r="E2" s="7" t="inlineStr">
        <is>
          <t>/dashboard/profile</t>
        </is>
      </c>
      <c r="F2" s="7" t="inlineStr">
        <is>
          <t>Profile</t>
        </is>
      </c>
      <c r="G2" s="7" t="inlineStr">
        <is>
          <t>Profile page avatar upload button has inconsistent hover color.</t>
        </is>
      </c>
      <c r="H2" s="7" t="inlineStr">
        <is>
          <t>1. Hover over avatar upload button.</t>
        </is>
      </c>
      <c r="I2" s="7" t="inlineStr">
        <is>
          <t>Hover color matches theme.</t>
        </is>
      </c>
      <c r="J2" s="7" t="inlineStr">
        <is>
          <t>Hover color is slightly off-brand.</t>
        </is>
      </c>
      <c r="K2" s="7" t="inlineStr">
        <is>
          <t>Low</t>
        </is>
      </c>
      <c r="L2" s="7" t="inlineStr">
        <is>
          <t>Open</t>
        </is>
      </c>
      <c r="M2" s="7" t="inlineStr">
        <is>
          <t>OpenClaw</t>
        </is>
      </c>
      <c r="N2" s="7" t="inlineStr"/>
      <c r="O2" s="7" t="inlineStr"/>
      <c r="P2" s="7" t="inlineStr">
        <is>
          <t>No</t>
        </is>
      </c>
      <c r="Q2" s="7" t="inlineStr">
        <is>
          <t>No</t>
        </is>
      </c>
      <c r="R2" s="7" t="inlineStr">
        <is>
          <t>Cosmetic only.</t>
        </is>
      </c>
    </row>
    <row r="3">
      <c r="A3" s="8" t="inlineStr">
        <is>
          <t>BUG-017</t>
        </is>
      </c>
      <c r="B3" s="8" t="inlineStr">
        <is>
          <t>2026-06-21</t>
        </is>
      </c>
      <c r="C3" s="8" t="inlineStr">
        <is>
          <t>Brian S.</t>
        </is>
      </c>
      <c r="D3" s="8" t="inlineStr">
        <is>
          <t>Instructor</t>
        </is>
      </c>
      <c r="E3" s="8" t="inlineStr">
        <is>
          <t>/instructor/messages</t>
        </is>
      </c>
      <c r="F3" s="8" t="inlineStr">
        <is>
          <t>Messaging</t>
        </is>
      </c>
      <c r="G3" s="8" t="inlineStr">
        <is>
          <t>Message timestamp uses 24-hour format in some places and 12-hour in others.</t>
        </is>
      </c>
      <c r="H3" s="8" t="inlineStr">
        <is>
          <t>1. View message list and message detail.</t>
        </is>
      </c>
      <c r="I3" s="8" t="inlineStr">
        <is>
          <t>Consistent time format across views.</t>
        </is>
      </c>
      <c r="J3" s="8" t="inlineStr">
        <is>
          <t>List shows 14:30, detail shows 2:30 PM.</t>
        </is>
      </c>
      <c r="K3" s="8" t="inlineStr">
        <is>
          <t>Low</t>
        </is>
      </c>
      <c r="L3" s="8" t="inlineStr">
        <is>
          <t>Investigating</t>
        </is>
      </c>
      <c r="M3" s="8" t="inlineStr">
        <is>
          <t>Future Developer</t>
        </is>
      </c>
      <c r="N3" s="8" t="inlineStr">
        <is>
          <t>2026-06-21</t>
        </is>
      </c>
      <c r="O3" s="8" t="inlineStr"/>
      <c r="P3" s="8" t="inlineStr">
        <is>
          <t>No</t>
        </is>
      </c>
      <c r="Q3" s="8" t="inlineStr">
        <is>
          <t>No</t>
        </is>
      </c>
      <c r="R3" s="8" t="inlineStr"/>
    </row>
    <row r="4">
      <c r="A4" s="7" t="inlineStr">
        <is>
          <t>BUG-018</t>
        </is>
      </c>
      <c r="B4" s="7" t="inlineStr">
        <is>
          <t>2026-06-22</t>
        </is>
      </c>
      <c r="C4" s="7" t="inlineStr">
        <is>
          <t>Cathy D.</t>
        </is>
      </c>
      <c r="D4" s="7" t="inlineStr">
        <is>
          <t>Tester</t>
        </is>
      </c>
      <c r="E4" s="7" t="inlineStr">
        <is>
          <t>/dashboard</t>
        </is>
      </c>
      <c r="F4" s="7" t="inlineStr">
        <is>
          <t>Dashboard</t>
        </is>
      </c>
      <c r="G4" s="7" t="inlineStr">
        <is>
          <t>Dashboard greeting text has a typo: 'Welcom' instead of 'Welcome'.</t>
        </is>
      </c>
      <c r="H4" s="7" t="inlineStr">
        <is>
          <t>1. Log in as student. 2. View dashboard header.</t>
        </is>
      </c>
      <c r="I4" s="7" t="inlineStr">
        <is>
          <t>Greeting reads 'Welcome back'.</t>
        </is>
      </c>
      <c r="J4" s="7" t="inlineStr">
        <is>
          <t>Greeting reads 'Welcom back'.</t>
        </is>
      </c>
      <c r="K4" s="7" t="inlineStr">
        <is>
          <t>Low</t>
        </is>
      </c>
      <c r="L4" s="7" t="inlineStr">
        <is>
          <t>Resolved</t>
        </is>
      </c>
      <c r="M4" s="7" t="inlineStr">
        <is>
          <t>OpenClaw</t>
        </is>
      </c>
      <c r="N4" s="7" t="inlineStr">
        <is>
          <t>2026-06-22</t>
        </is>
      </c>
      <c r="O4" s="7" t="inlineStr">
        <is>
          <t>2026-06-22</t>
        </is>
      </c>
      <c r="P4" s="7" t="inlineStr">
        <is>
          <t>Yes</t>
        </is>
      </c>
      <c r="Q4" s="7" t="inlineStr">
        <is>
          <t>Yes</t>
        </is>
      </c>
      <c r="R4" s="7" t="inlineStr"/>
    </row>
    <row r="5">
      <c r="A5" s="8" t="inlineStr">
        <is>
          <t>BUG-019</t>
        </is>
      </c>
      <c r="B5" s="8" t="inlineStr">
        <is>
          <t>2026-06-22</t>
        </is>
      </c>
      <c r="C5" s="8" t="inlineStr">
        <is>
          <t>Tester C</t>
        </is>
      </c>
      <c r="D5" s="8" t="inlineStr">
        <is>
          <t>Tester</t>
        </is>
      </c>
      <c r="E5" s="8" t="inlineStr">
        <is>
          <t>/signup</t>
        </is>
      </c>
      <c r="F5" s="8" t="inlineStr">
        <is>
          <t>Authentication</t>
        </is>
      </c>
      <c r="G5" s="8" t="inlineStr">
        <is>
          <t>Sign-up page footer link to terms opens in same tab instead of new tab.</t>
        </is>
      </c>
      <c r="H5" s="8" t="inlineStr">
        <is>
          <t>1. Go to signup. 2. Click Terms link.</t>
        </is>
      </c>
      <c r="I5" s="8" t="inlineStr">
        <is>
          <t>Terms open in new tab.</t>
        </is>
      </c>
      <c r="J5" s="8" t="inlineStr">
        <is>
          <t>Terms open in same tab, losing signup progress.</t>
        </is>
      </c>
      <c r="K5" s="8" t="inlineStr">
        <is>
          <t>Low</t>
        </is>
      </c>
      <c r="L5" s="8" t="inlineStr">
        <is>
          <t>Open</t>
        </is>
      </c>
      <c r="M5" s="8" t="inlineStr">
        <is>
          <t>Future Developer</t>
        </is>
      </c>
      <c r="N5" s="8" t="inlineStr"/>
      <c r="O5" s="8" t="inlineStr"/>
      <c r="P5" s="8" t="inlineStr">
        <is>
          <t>No</t>
        </is>
      </c>
      <c r="Q5" s="8" t="inlineStr">
        <is>
          <t>No</t>
        </is>
      </c>
      <c r="R5" s="8" t="inlineStr"/>
    </row>
    <row r="6">
      <c r="A6" s="7" t="inlineStr">
        <is>
          <t>BUG-020</t>
        </is>
      </c>
      <c r="B6" s="7" t="inlineStr">
        <is>
          <t>2026-06-23</t>
        </is>
      </c>
      <c r="C6" s="7" t="inlineStr">
        <is>
          <t>Diana F.</t>
        </is>
      </c>
      <c r="D6" s="7" t="inlineStr">
        <is>
          <t>Student</t>
        </is>
      </c>
      <c r="E6" s="7" t="inlineStr">
        <is>
          <t>/dashboard/missed-questions</t>
        </is>
      </c>
      <c r="F6" s="7" t="inlineStr">
        <is>
          <t>Missed Questions</t>
        </is>
      </c>
      <c r="G6" s="7" t="inlineStr">
        <is>
          <t>Retest button padding is inconsistent on tablet view.</t>
        </is>
      </c>
      <c r="H6" s="7" t="inlineStr">
        <is>
          <t>1. Open missed questions on iPad. 2. View retest button.</t>
        </is>
      </c>
      <c r="I6" s="7" t="inlineStr">
        <is>
          <t>Button padding matches desktop/mobile.</t>
        </is>
      </c>
      <c r="J6" s="7" t="inlineStr">
        <is>
          <t>Button appears cramped.</t>
        </is>
      </c>
      <c r="K6" s="7" t="inlineStr">
        <is>
          <t>Low</t>
        </is>
      </c>
      <c r="L6" s="7" t="inlineStr">
        <is>
          <t>Open</t>
        </is>
      </c>
      <c r="M6" s="7" t="inlineStr">
        <is>
          <t>OpenClaw</t>
        </is>
      </c>
      <c r="N6" s="7" t="inlineStr"/>
      <c r="O6" s="7" t="inlineStr"/>
      <c r="P6" s="7" t="inlineStr">
        <is>
          <t>No</t>
        </is>
      </c>
      <c r="Q6" s="7" t="inlineStr">
        <is>
          <t>No</t>
        </is>
      </c>
      <c r="R6" s="7" t="inlineStr"/>
    </row>
  </sheetData>
  <autoFilter ref="A1:R106"/>
  <conditionalFormatting sqref="K2:K1000">
    <cfRule type="cellIs" priority="1" operator="equal" dxfId="0">
      <formula>"Critical"</formula>
    </cfRule>
    <cfRule type="cellIs" priority="2" operator="equal" dxfId="1">
      <formula>"High"</formula>
    </cfRule>
    <cfRule type="cellIs" priority="3" operator="equal" dxfId="2">
      <formula>"Medium"</formula>
    </cfRule>
    <cfRule type="cellIs" priority="4" operator="equal" dxfId="3">
      <formula>"Low"</formula>
    </cfRule>
  </conditionalFormatting>
  <conditionalFormatting sqref="A2:Q1000">
    <cfRule type="expression" priority="5" dxfId="3">
      <formula>$L2="Resolved"</formula>
    </cfRule>
    <cfRule type="expression" priority="6" dxfId="0">
      <formula>$L2="Open"</formula>
    </cfRule>
  </conditionalFormatting>
  <dataValidations count="5">
    <dataValidation sqref="K2:K1000" showDropDown="0" showInputMessage="0" showErrorMessage="0" allowBlank="0" errorTitle="Invalid Priority" error="Please select a valid priority" type="list">
      <formula1>"Critical,High,Medium,Low"</formula1>
    </dataValidation>
    <dataValidation sqref="L2:L1000" showDropDown="0" showInputMessage="0" showErrorMessage="0" allowBlank="0" errorTitle="Invalid Status" error="Please select a valid status" type="list">
      <formula1>"Open,Investigating,In Progress,Testing,Resolved,Closed"</formula1>
    </dataValidation>
    <dataValidation sqref="D2:D1000" showDropDown="0" showInputMessage="0" showErrorMessage="0" allowBlank="0" errorTitle="Invalid User Type" error="Please select a valid user type" type="list">
      <formula1>"Student,Instructor,School Owner,Administrator,Tester"</formula1>
    </dataValidation>
    <dataValidation sqref="M2:M1000" showDropDown="0" showInputMessage="0" showErrorMessage="0" allowBlank="1" errorTitle="Invalid Assignee" error="Please select a valid assignee" type="list">
      <formula1>"Gabriel,OpenClaw,Future Developer"</formula1>
    </dataValidation>
    <dataValidation sqref="P2:Q1000" showDropDown="0" showInputMessage="0" showErrorMessage="0" allowBlank="0" errorTitle="Invalid Value" error="Please select Yes or No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2026-06-24T17:06:10Z</dcterms:created>
  <dcterms:modified xsi:type="dcterms:W3CDTF">2026-06-24T17:06:10Z</dcterms:modified>
</cp:coreProperties>
</file>